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760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<sst xmlns="http://schemas.openxmlformats.org/spreadsheetml/2006/main" count="170" uniqueCount="87">
  <si>
    <t>姓名</t>
  </si>
  <si>
    <t>语文</t>
  </si>
  <si>
    <t>数学</t>
  </si>
  <si>
    <t>英语</t>
  </si>
  <si>
    <t>日语</t>
  </si>
  <si>
    <t>物理</t>
  </si>
  <si>
    <t>生物</t>
  </si>
  <si>
    <t>地理</t>
  </si>
  <si>
    <t>化学</t>
  </si>
  <si>
    <t>总分</t>
  </si>
  <si>
    <t>11月考</t>
  </si>
  <si>
    <t>月考</t>
  </si>
  <si>
    <t>进退步</t>
  </si>
  <si>
    <t>罗子涛</t>
  </si>
  <si>
    <t/>
  </si>
  <si>
    <t>1</t>
  </si>
  <si>
    <t>刘航</t>
  </si>
  <si>
    <t>2</t>
  </si>
  <si>
    <t>邹刘俊</t>
  </si>
  <si>
    <t>3</t>
  </si>
  <si>
    <t>吴梓毅</t>
  </si>
  <si>
    <t>4</t>
  </si>
  <si>
    <t>周亚航</t>
  </si>
  <si>
    <t>5</t>
  </si>
  <si>
    <t>彭梓杨</t>
  </si>
  <si>
    <t>7</t>
  </si>
  <si>
    <t>丁泽宇</t>
  </si>
  <si>
    <t>何长宁</t>
  </si>
  <si>
    <t>9</t>
  </si>
  <si>
    <t>包证羽</t>
  </si>
  <si>
    <t>10</t>
  </si>
  <si>
    <t>张翼璜</t>
  </si>
  <si>
    <t>11</t>
  </si>
  <si>
    <t>贺思琪</t>
  </si>
  <si>
    <t>12</t>
  </si>
  <si>
    <t>冯子航</t>
  </si>
  <si>
    <t>李子阳</t>
  </si>
  <si>
    <t>14</t>
  </si>
  <si>
    <t>游天心</t>
  </si>
  <si>
    <t>15</t>
  </si>
  <si>
    <t>刘凡逸</t>
  </si>
  <si>
    <t>16</t>
  </si>
  <si>
    <t>刘玮超</t>
  </si>
  <si>
    <t>17</t>
  </si>
  <si>
    <t>丁澳</t>
  </si>
  <si>
    <t>18</t>
  </si>
  <si>
    <t>彭文倩</t>
  </si>
  <si>
    <t>19</t>
  </si>
  <si>
    <t>潘子健</t>
  </si>
  <si>
    <t>钟宇平</t>
  </si>
  <si>
    <t>23</t>
  </si>
  <si>
    <t>彭天熙</t>
  </si>
  <si>
    <t>25</t>
  </si>
  <si>
    <t>彭安</t>
  </si>
  <si>
    <t>彭天宇</t>
  </si>
  <si>
    <t>28</t>
  </si>
  <si>
    <t>朱浩文</t>
  </si>
  <si>
    <t>29</t>
  </si>
  <si>
    <t>钟杨</t>
  </si>
  <si>
    <t>34</t>
  </si>
  <si>
    <t>肖天伦</t>
  </si>
  <si>
    <t>41</t>
  </si>
  <si>
    <t>何欣运</t>
  </si>
  <si>
    <t>朱梓佟</t>
  </si>
  <si>
    <t>43</t>
  </si>
  <si>
    <t>孙雅婕</t>
  </si>
  <si>
    <t>44</t>
  </si>
  <si>
    <t>张仁禹</t>
  </si>
  <si>
    <t>46</t>
  </si>
  <si>
    <t>周仁</t>
  </si>
  <si>
    <t>47</t>
  </si>
  <si>
    <t>黄赫俊</t>
  </si>
  <si>
    <t>48</t>
  </si>
  <si>
    <t>胡皓轩</t>
  </si>
  <si>
    <t>50</t>
  </si>
  <si>
    <t>陈宇航</t>
  </si>
  <si>
    <t>51</t>
  </si>
  <si>
    <t>邹梓涵</t>
  </si>
  <si>
    <t>55</t>
  </si>
  <si>
    <t>赖以存</t>
  </si>
  <si>
    <t>56</t>
  </si>
  <si>
    <t>廖潇博</t>
  </si>
  <si>
    <t>57</t>
  </si>
  <si>
    <t>肖天琪</t>
  </si>
  <si>
    <t>62</t>
  </si>
  <si>
    <t>林雅妮</t>
  </si>
  <si>
    <t>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</si>
</sst>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" fillId="0" borderId="5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28129\Desktop\2304&#29677;&#29677;&#32423;&#31649;&#29702;&#25991;&#20214;\&#39640;&#19977;&#31532;&#19968;&#27425;&#26376;&#32771;\2304&#29677;&#31532;&#19968;&#27425;&#26376;&#32771;&#32852;&#32771;&#25104;&#324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3">
          <cell r="C3" t="str">
            <v>刘航</v>
          </cell>
          <cell r="D3">
            <v>93</v>
          </cell>
          <cell r="E3">
            <v>64</v>
          </cell>
          <cell r="F3" t="str">
            <v/>
          </cell>
          <cell r="G3">
            <v>98</v>
          </cell>
          <cell r="H3">
            <v>45</v>
          </cell>
          <cell r="I3">
            <v>84</v>
          </cell>
          <cell r="J3" t="str">
            <v/>
          </cell>
          <cell r="K3">
            <v>76</v>
          </cell>
          <cell r="L3">
            <v>460</v>
          </cell>
          <cell r="M3" t="str">
            <v>1</v>
          </cell>
        </row>
        <row r="4">
          <cell r="C4" t="str">
            <v>彭梓杨</v>
          </cell>
          <cell r="D4">
            <v>86.5</v>
          </cell>
          <cell r="E4">
            <v>63</v>
          </cell>
          <cell r="F4" t="str">
            <v/>
          </cell>
          <cell r="G4">
            <v>99</v>
          </cell>
          <cell r="H4">
            <v>42</v>
          </cell>
          <cell r="I4">
            <v>65</v>
          </cell>
          <cell r="J4" t="str">
            <v/>
          </cell>
          <cell r="K4">
            <v>75</v>
          </cell>
          <cell r="L4">
            <v>430.5</v>
          </cell>
          <cell r="M4" t="str">
            <v>2</v>
          </cell>
        </row>
        <row r="5">
          <cell r="C5" t="str">
            <v>包证羽</v>
          </cell>
          <cell r="D5">
            <v>92</v>
          </cell>
          <cell r="E5">
            <v>58</v>
          </cell>
          <cell r="F5" t="str">
            <v/>
          </cell>
          <cell r="G5">
            <v>97.5</v>
          </cell>
          <cell r="H5">
            <v>34</v>
          </cell>
          <cell r="I5">
            <v>87</v>
          </cell>
          <cell r="J5" t="str">
            <v/>
          </cell>
          <cell r="K5">
            <v>59</v>
          </cell>
          <cell r="L5">
            <v>427.5</v>
          </cell>
          <cell r="M5" t="str">
            <v>3</v>
          </cell>
        </row>
        <row r="6">
          <cell r="C6" t="str">
            <v>邹刘俊</v>
          </cell>
          <cell r="D6">
            <v>94.5</v>
          </cell>
          <cell r="E6">
            <v>29</v>
          </cell>
          <cell r="F6" t="str">
            <v/>
          </cell>
          <cell r="G6">
            <v>108.5</v>
          </cell>
          <cell r="H6">
            <v>48</v>
          </cell>
          <cell r="I6">
            <v>80</v>
          </cell>
          <cell r="J6" t="str">
            <v/>
          </cell>
          <cell r="K6">
            <v>59</v>
          </cell>
          <cell r="L6">
            <v>419</v>
          </cell>
          <cell r="M6" t="str">
            <v>4</v>
          </cell>
        </row>
        <row r="7">
          <cell r="C7" t="str">
            <v>吴梓毅</v>
          </cell>
          <cell r="D7">
            <v>77.5</v>
          </cell>
          <cell r="E7">
            <v>69</v>
          </cell>
          <cell r="F7" t="str">
            <v/>
          </cell>
          <cell r="G7">
            <v>85</v>
          </cell>
          <cell r="H7">
            <v>37</v>
          </cell>
          <cell r="I7">
            <v>72</v>
          </cell>
          <cell r="J7" t="str">
            <v/>
          </cell>
          <cell r="K7">
            <v>77</v>
          </cell>
          <cell r="L7">
            <v>417.5</v>
          </cell>
          <cell r="M7" t="str">
            <v>5</v>
          </cell>
        </row>
        <row r="8">
          <cell r="C8" t="str">
            <v>丁泽宇</v>
          </cell>
          <cell r="D8">
            <v>90</v>
          </cell>
          <cell r="E8">
            <v>54</v>
          </cell>
          <cell r="F8" t="str">
            <v/>
          </cell>
          <cell r="G8">
            <v>103.5</v>
          </cell>
          <cell r="H8">
            <v>17</v>
          </cell>
          <cell r="I8">
            <v>63</v>
          </cell>
          <cell r="J8" t="str">
            <v/>
          </cell>
          <cell r="K8">
            <v>73</v>
          </cell>
          <cell r="L8">
            <v>400.5</v>
          </cell>
          <cell r="M8" t="str">
            <v>7</v>
          </cell>
        </row>
        <row r="9">
          <cell r="C9" t="str">
            <v>冯子航</v>
          </cell>
          <cell r="D9">
            <v>95.5</v>
          </cell>
          <cell r="E9">
            <v>35</v>
          </cell>
          <cell r="F9" t="str">
            <v/>
          </cell>
          <cell r="G9">
            <v>100.5</v>
          </cell>
          <cell r="H9">
            <v>20</v>
          </cell>
          <cell r="I9">
            <v>68</v>
          </cell>
          <cell r="J9">
            <v>80</v>
          </cell>
          <cell r="K9" t="str">
            <v/>
          </cell>
          <cell r="L9">
            <v>399</v>
          </cell>
          <cell r="M9" t="str">
            <v>7</v>
          </cell>
        </row>
        <row r="10">
          <cell r="C10" t="str">
            <v>游天心</v>
          </cell>
          <cell r="D10">
            <v>84.5</v>
          </cell>
          <cell r="E10">
            <v>64</v>
          </cell>
          <cell r="F10" t="str">
            <v/>
          </cell>
          <cell r="G10">
            <v>96</v>
          </cell>
          <cell r="H10">
            <v>21</v>
          </cell>
          <cell r="I10">
            <v>75</v>
          </cell>
          <cell r="J10" t="str">
            <v/>
          </cell>
          <cell r="K10">
            <v>52</v>
          </cell>
          <cell r="L10">
            <v>392.5</v>
          </cell>
          <cell r="M10" t="str">
            <v>9</v>
          </cell>
        </row>
        <row r="11">
          <cell r="C11" t="str">
            <v>刘玮超</v>
          </cell>
          <cell r="D11">
            <v>83</v>
          </cell>
          <cell r="E11">
            <v>72</v>
          </cell>
          <cell r="F11" t="str">
            <v/>
          </cell>
          <cell r="G11">
            <v>88</v>
          </cell>
          <cell r="H11">
            <v>26</v>
          </cell>
          <cell r="I11">
            <v>65</v>
          </cell>
          <cell r="J11" t="str">
            <v/>
          </cell>
          <cell r="K11">
            <v>56</v>
          </cell>
          <cell r="L11">
            <v>390</v>
          </cell>
          <cell r="M11" t="str">
            <v>10</v>
          </cell>
        </row>
        <row r="12">
          <cell r="C12" t="str">
            <v>潘子健</v>
          </cell>
          <cell r="D12">
            <v>83</v>
          </cell>
          <cell r="E12">
            <v>55</v>
          </cell>
        </row>
        <row r="12">
          <cell r="G12">
            <v>85</v>
          </cell>
          <cell r="H12">
            <v>31</v>
          </cell>
          <cell r="I12">
            <v>75</v>
          </cell>
          <cell r="J12" t="str">
            <v/>
          </cell>
          <cell r="K12">
            <v>55</v>
          </cell>
          <cell r="L12">
            <v>384</v>
          </cell>
          <cell r="M12" t="str">
            <v>11</v>
          </cell>
        </row>
        <row r="13">
          <cell r="C13" t="str">
            <v>贺思琪</v>
          </cell>
          <cell r="D13">
            <v>93.5</v>
          </cell>
          <cell r="E13">
            <v>58</v>
          </cell>
          <cell r="F13">
            <v>50</v>
          </cell>
          <cell r="G13" t="str">
            <v/>
          </cell>
          <cell r="H13">
            <v>24</v>
          </cell>
          <cell r="I13">
            <v>74</v>
          </cell>
          <cell r="J13">
            <v>83</v>
          </cell>
          <cell r="K13" t="str">
            <v/>
          </cell>
          <cell r="L13">
            <v>382.5</v>
          </cell>
          <cell r="M13" t="str">
            <v>12</v>
          </cell>
        </row>
        <row r="14">
          <cell r="C14" t="str">
            <v>张翼璜</v>
          </cell>
          <cell r="D14">
            <v>97</v>
          </cell>
          <cell r="E14">
            <v>43</v>
          </cell>
          <cell r="F14">
            <v>81</v>
          </cell>
          <cell r="G14" t="str">
            <v/>
          </cell>
          <cell r="H14">
            <v>21</v>
          </cell>
          <cell r="I14">
            <v>64</v>
          </cell>
          <cell r="J14">
            <v>74</v>
          </cell>
          <cell r="K14" t="str">
            <v/>
          </cell>
          <cell r="L14">
            <v>380</v>
          </cell>
          <cell r="M14" t="str">
            <v>12</v>
          </cell>
        </row>
        <row r="15">
          <cell r="C15" t="str">
            <v>李子阳</v>
          </cell>
          <cell r="D15">
            <v>91.5</v>
          </cell>
          <cell r="E15">
            <v>56</v>
          </cell>
          <cell r="F15">
            <v>59.5</v>
          </cell>
          <cell r="G15" t="str">
            <v/>
          </cell>
          <cell r="H15">
            <v>26</v>
          </cell>
          <cell r="I15">
            <v>71</v>
          </cell>
          <cell r="J15">
            <v>76</v>
          </cell>
          <cell r="K15" t="str">
            <v/>
          </cell>
          <cell r="L15">
            <v>380</v>
          </cell>
          <cell r="M15" t="str">
            <v>14</v>
          </cell>
        </row>
        <row r="16">
          <cell r="C16" t="str">
            <v>周亚航</v>
          </cell>
          <cell r="D16">
            <v>96.5</v>
          </cell>
          <cell r="E16">
            <v>39</v>
          </cell>
          <cell r="F16" t="str">
            <v/>
          </cell>
          <cell r="G16">
            <v>71.5</v>
          </cell>
          <cell r="H16">
            <v>33</v>
          </cell>
          <cell r="I16">
            <v>82</v>
          </cell>
          <cell r="J16" t="str">
            <v/>
          </cell>
          <cell r="K16">
            <v>57</v>
          </cell>
          <cell r="L16">
            <v>379</v>
          </cell>
          <cell r="M16" t="str">
            <v>15</v>
          </cell>
        </row>
        <row r="17">
          <cell r="C17" t="str">
            <v>孙雅婕</v>
          </cell>
          <cell r="D17">
            <v>90</v>
          </cell>
          <cell r="E17">
            <v>49</v>
          </cell>
          <cell r="F17">
            <v>57</v>
          </cell>
          <cell r="G17" t="str">
            <v/>
          </cell>
          <cell r="H17">
            <v>27</v>
          </cell>
          <cell r="I17">
            <v>71</v>
          </cell>
          <cell r="J17">
            <v>77</v>
          </cell>
          <cell r="K17" t="str">
            <v/>
          </cell>
          <cell r="L17">
            <v>371</v>
          </cell>
          <cell r="M17" t="str">
            <v>16</v>
          </cell>
        </row>
        <row r="18">
          <cell r="C18" t="str">
            <v>丁澳</v>
          </cell>
          <cell r="D18">
            <v>86</v>
          </cell>
          <cell r="E18">
            <v>45</v>
          </cell>
          <cell r="F18" t="str">
            <v/>
          </cell>
          <cell r="G18">
            <v>84.5</v>
          </cell>
          <cell r="H18">
            <v>15</v>
          </cell>
          <cell r="I18">
            <v>73</v>
          </cell>
          <cell r="J18">
            <v>67</v>
          </cell>
          <cell r="K18" t="str">
            <v/>
          </cell>
          <cell r="L18">
            <v>370.5</v>
          </cell>
          <cell r="M18" t="str">
            <v>17</v>
          </cell>
        </row>
        <row r="19">
          <cell r="C19" t="str">
            <v>黄赫俊</v>
          </cell>
          <cell r="D19">
            <v>78.5</v>
          </cell>
          <cell r="E19">
            <v>35</v>
          </cell>
          <cell r="F19" t="str">
            <v/>
          </cell>
          <cell r="G19">
            <v>81</v>
          </cell>
          <cell r="H19">
            <v>26</v>
          </cell>
          <cell r="I19">
            <v>82</v>
          </cell>
          <cell r="J19">
            <v>62</v>
          </cell>
          <cell r="K19" t="str">
            <v/>
          </cell>
          <cell r="L19">
            <v>364.5</v>
          </cell>
          <cell r="M19" t="str">
            <v>18</v>
          </cell>
        </row>
        <row r="20">
          <cell r="C20" t="str">
            <v>张仁禹</v>
          </cell>
          <cell r="D20">
            <v>89.5</v>
          </cell>
          <cell r="E20">
            <v>44</v>
          </cell>
          <cell r="F20">
            <v>47.5</v>
          </cell>
          <cell r="G20" t="str">
            <v/>
          </cell>
          <cell r="H20">
            <v>25</v>
          </cell>
          <cell r="I20">
            <v>73</v>
          </cell>
          <cell r="J20">
            <v>85</v>
          </cell>
          <cell r="K20" t="str">
            <v/>
          </cell>
          <cell r="L20">
            <v>364</v>
          </cell>
          <cell r="M20" t="str">
            <v>19</v>
          </cell>
        </row>
        <row r="21">
          <cell r="C21" t="str">
            <v>刘凡逸</v>
          </cell>
          <cell r="D21">
            <v>96.5</v>
          </cell>
          <cell r="E21">
            <v>33</v>
          </cell>
          <cell r="F21">
            <v>82</v>
          </cell>
          <cell r="G21" t="str">
            <v/>
          </cell>
          <cell r="H21">
            <v>26</v>
          </cell>
          <cell r="I21">
            <v>64</v>
          </cell>
          <cell r="J21" t="str">
            <v/>
          </cell>
          <cell r="K21">
            <v>61</v>
          </cell>
          <cell r="L21">
            <v>362.5</v>
          </cell>
          <cell r="M21" t="str">
            <v>19</v>
          </cell>
        </row>
        <row r="22">
          <cell r="C22" t="str">
            <v>朱浩文</v>
          </cell>
          <cell r="D22">
            <v>82</v>
          </cell>
          <cell r="E22">
            <v>45</v>
          </cell>
          <cell r="F22">
            <v>59.5</v>
          </cell>
          <cell r="G22" t="str">
            <v/>
          </cell>
          <cell r="H22">
            <v>29</v>
          </cell>
          <cell r="I22">
            <v>71</v>
          </cell>
          <cell r="J22" t="str">
            <v/>
          </cell>
          <cell r="K22">
            <v>76</v>
          </cell>
          <cell r="L22">
            <v>362.5</v>
          </cell>
          <cell r="M22" t="str">
            <v>23</v>
          </cell>
        </row>
        <row r="23">
          <cell r="C23" t="str">
            <v>何长宁</v>
          </cell>
          <cell r="D23">
            <v>94</v>
          </cell>
          <cell r="E23">
            <v>41</v>
          </cell>
          <cell r="F23" t="str">
            <v/>
          </cell>
          <cell r="G23">
            <v>77</v>
          </cell>
          <cell r="H23">
            <v>22</v>
          </cell>
          <cell r="I23">
            <v>73</v>
          </cell>
          <cell r="J23">
            <v>54</v>
          </cell>
          <cell r="K23" t="str">
            <v/>
          </cell>
          <cell r="L23">
            <v>361</v>
          </cell>
          <cell r="M23" t="str">
            <v>25</v>
          </cell>
        </row>
        <row r="24">
          <cell r="C24" t="str">
            <v>周仁</v>
          </cell>
          <cell r="D24">
            <v>89.5</v>
          </cell>
          <cell r="E24">
            <v>34</v>
          </cell>
          <cell r="F24">
            <v>42.5</v>
          </cell>
          <cell r="G24" t="str">
            <v/>
          </cell>
          <cell r="H24">
            <v>40</v>
          </cell>
          <cell r="I24">
            <v>82</v>
          </cell>
          <cell r="J24">
            <v>73</v>
          </cell>
          <cell r="K24" t="str">
            <v/>
          </cell>
          <cell r="L24">
            <v>361</v>
          </cell>
          <cell r="M24" t="str">
            <v>25</v>
          </cell>
        </row>
        <row r="25">
          <cell r="C25" t="str">
            <v>陈宇航</v>
          </cell>
          <cell r="D25">
            <v>83</v>
          </cell>
          <cell r="E25">
            <v>44</v>
          </cell>
          <cell r="F25" t="str">
            <v/>
          </cell>
          <cell r="G25">
            <v>70</v>
          </cell>
          <cell r="H25">
            <v>34</v>
          </cell>
          <cell r="I25">
            <v>75</v>
          </cell>
          <cell r="J25">
            <v>50</v>
          </cell>
          <cell r="K25" t="str">
            <v/>
          </cell>
          <cell r="L25">
            <v>356</v>
          </cell>
          <cell r="M25" t="str">
            <v>28</v>
          </cell>
        </row>
        <row r="26">
          <cell r="C26" t="str">
            <v>彭安</v>
          </cell>
          <cell r="D26">
            <v>85.5</v>
          </cell>
          <cell r="E26">
            <v>34</v>
          </cell>
          <cell r="F26">
            <v>70</v>
          </cell>
          <cell r="G26" t="str">
            <v/>
          </cell>
          <cell r="H26">
            <v>30</v>
          </cell>
          <cell r="I26">
            <v>62</v>
          </cell>
          <cell r="J26">
            <v>74</v>
          </cell>
          <cell r="K26" t="str">
            <v/>
          </cell>
          <cell r="L26">
            <v>355.5</v>
          </cell>
          <cell r="M26" t="str">
            <v>29</v>
          </cell>
        </row>
        <row r="27">
          <cell r="C27" t="str">
            <v>彭天熙</v>
          </cell>
          <cell r="D27">
            <v>91</v>
          </cell>
          <cell r="E27">
            <v>54</v>
          </cell>
          <cell r="F27">
            <v>63</v>
          </cell>
          <cell r="G27" t="str">
            <v/>
          </cell>
          <cell r="H27">
            <v>20</v>
          </cell>
          <cell r="I27">
            <v>64</v>
          </cell>
          <cell r="J27">
            <v>61</v>
          </cell>
          <cell r="K27" t="str">
            <v/>
          </cell>
          <cell r="L27">
            <v>353</v>
          </cell>
          <cell r="M27" t="str">
            <v>34</v>
          </cell>
        </row>
        <row r="28">
          <cell r="C28" t="str">
            <v>何欣运</v>
          </cell>
          <cell r="D28">
            <v>95</v>
          </cell>
          <cell r="E28">
            <v>31</v>
          </cell>
          <cell r="F28" t="str">
            <v/>
          </cell>
          <cell r="G28">
            <v>75.5</v>
          </cell>
          <cell r="H28">
            <v>11</v>
          </cell>
          <cell r="I28">
            <v>65</v>
          </cell>
          <cell r="J28">
            <v>73</v>
          </cell>
          <cell r="K28" t="str">
            <v/>
          </cell>
          <cell r="L28">
            <v>350.5</v>
          </cell>
          <cell r="M28" t="str">
            <v>41</v>
          </cell>
        </row>
        <row r="29">
          <cell r="C29" t="str">
            <v>钟宇平</v>
          </cell>
          <cell r="D29">
            <v>80</v>
          </cell>
          <cell r="E29">
            <v>25</v>
          </cell>
          <cell r="F29" t="str">
            <v/>
          </cell>
          <cell r="G29">
            <v>94.5</v>
          </cell>
          <cell r="H29">
            <v>21</v>
          </cell>
          <cell r="I29">
            <v>63</v>
          </cell>
          <cell r="J29">
            <v>66</v>
          </cell>
          <cell r="K29" t="str">
            <v/>
          </cell>
          <cell r="L29">
            <v>349.5</v>
          </cell>
          <cell r="M29" t="str">
            <v>41</v>
          </cell>
        </row>
        <row r="30">
          <cell r="C30" t="str">
            <v>彭天宇</v>
          </cell>
          <cell r="D30">
            <v>90.5</v>
          </cell>
          <cell r="E30">
            <v>31</v>
          </cell>
          <cell r="F30">
            <v>47.5</v>
          </cell>
          <cell r="G30" t="str">
            <v/>
          </cell>
          <cell r="H30">
            <v>22</v>
          </cell>
          <cell r="I30">
            <v>81</v>
          </cell>
          <cell r="J30">
            <v>76</v>
          </cell>
          <cell r="K30" t="str">
            <v/>
          </cell>
          <cell r="L30">
            <v>348</v>
          </cell>
          <cell r="M30" t="str">
            <v>43</v>
          </cell>
        </row>
        <row r="31">
          <cell r="C31" t="str">
            <v>彭文倩</v>
          </cell>
          <cell r="D31">
            <v>95</v>
          </cell>
          <cell r="E31">
            <v>30</v>
          </cell>
          <cell r="F31">
            <v>63</v>
          </cell>
          <cell r="G31" t="str">
            <v/>
          </cell>
          <cell r="H31">
            <v>34</v>
          </cell>
          <cell r="I31">
            <v>65</v>
          </cell>
          <cell r="J31" t="str">
            <v/>
          </cell>
          <cell r="K31">
            <v>58</v>
          </cell>
          <cell r="L31">
            <v>345</v>
          </cell>
          <cell r="M31" t="str">
            <v>44</v>
          </cell>
        </row>
        <row r="32">
          <cell r="C32" t="str">
            <v>邹梓涵</v>
          </cell>
          <cell r="D32">
            <v>81</v>
          </cell>
          <cell r="E32">
            <v>49</v>
          </cell>
          <cell r="F32">
            <v>51.5</v>
          </cell>
          <cell r="G32" t="str">
            <v/>
          </cell>
          <cell r="H32">
            <v>23</v>
          </cell>
          <cell r="I32">
            <v>70</v>
          </cell>
          <cell r="J32">
            <v>70</v>
          </cell>
          <cell r="K32" t="str">
            <v/>
          </cell>
          <cell r="L32">
            <v>344.5</v>
          </cell>
          <cell r="M32" t="str">
            <v>46</v>
          </cell>
        </row>
        <row r="33">
          <cell r="C33" t="str">
            <v>胡皓轩</v>
          </cell>
          <cell r="D33">
            <v>98</v>
          </cell>
          <cell r="E33">
            <v>33</v>
          </cell>
          <cell r="F33">
            <v>56.5</v>
          </cell>
          <cell r="G33" t="str">
            <v/>
          </cell>
          <cell r="H33">
            <v>24</v>
          </cell>
          <cell r="I33">
            <v>68</v>
          </cell>
          <cell r="J33" t="str">
            <v/>
          </cell>
          <cell r="K33">
            <v>54</v>
          </cell>
          <cell r="L33">
            <v>333.5</v>
          </cell>
          <cell r="M33" t="str">
            <v>47</v>
          </cell>
        </row>
        <row r="34">
          <cell r="C34" t="str">
            <v>钟杨</v>
          </cell>
          <cell r="D34">
            <v>84</v>
          </cell>
          <cell r="E34">
            <v>36</v>
          </cell>
          <cell r="F34">
            <v>45.5</v>
          </cell>
          <cell r="G34" t="str">
            <v/>
          </cell>
          <cell r="H34">
            <v>21</v>
          </cell>
          <cell r="I34">
            <v>75</v>
          </cell>
          <cell r="J34" t="str">
            <v/>
          </cell>
          <cell r="K34">
            <v>69</v>
          </cell>
          <cell r="L34">
            <v>330.5</v>
          </cell>
          <cell r="M34" t="str">
            <v>48</v>
          </cell>
        </row>
        <row r="35">
          <cell r="C35" t="str">
            <v>赖以存</v>
          </cell>
          <cell r="D35">
            <v>99.5</v>
          </cell>
          <cell r="E35">
            <v>53</v>
          </cell>
          <cell r="F35">
            <v>40</v>
          </cell>
          <cell r="G35" t="str">
            <v/>
          </cell>
          <cell r="H35">
            <v>23</v>
          </cell>
          <cell r="I35">
            <v>49</v>
          </cell>
          <cell r="J35">
            <v>65</v>
          </cell>
          <cell r="K35" t="str">
            <v/>
          </cell>
          <cell r="L35">
            <v>329.5</v>
          </cell>
          <cell r="M35" t="str">
            <v>50</v>
          </cell>
        </row>
        <row r="36">
          <cell r="C36" t="str">
            <v>朱梓佟</v>
          </cell>
          <cell r="D36">
            <v>87.5</v>
          </cell>
          <cell r="E36">
            <v>54</v>
          </cell>
          <cell r="F36">
            <v>36</v>
          </cell>
          <cell r="G36" t="str">
            <v/>
          </cell>
          <cell r="H36">
            <v>35</v>
          </cell>
          <cell r="I36">
            <v>58</v>
          </cell>
          <cell r="J36" t="str">
            <v/>
          </cell>
          <cell r="K36">
            <v>58</v>
          </cell>
          <cell r="L36">
            <v>328.5</v>
          </cell>
          <cell r="M36" t="str">
            <v>51</v>
          </cell>
        </row>
        <row r="37">
          <cell r="C37" t="str">
            <v>廖潇博</v>
          </cell>
          <cell r="D37">
            <v>90</v>
          </cell>
          <cell r="E37">
            <v>45</v>
          </cell>
          <cell r="F37">
            <v>48</v>
          </cell>
          <cell r="G37" t="str">
            <v/>
          </cell>
          <cell r="H37">
            <v>25</v>
          </cell>
          <cell r="I37">
            <v>63</v>
          </cell>
          <cell r="J37" t="str">
            <v/>
          </cell>
          <cell r="K37">
            <v>57</v>
          </cell>
          <cell r="L37">
            <v>328</v>
          </cell>
          <cell r="M37" t="str">
            <v>55</v>
          </cell>
        </row>
        <row r="38">
          <cell r="C38" t="str">
            <v>肖天伦</v>
          </cell>
          <cell r="D38">
            <v>79.5</v>
          </cell>
          <cell r="E38">
            <v>50</v>
          </cell>
          <cell r="F38">
            <v>54</v>
          </cell>
          <cell r="G38" t="str">
            <v/>
          </cell>
          <cell r="H38">
            <v>18</v>
          </cell>
          <cell r="I38">
            <v>75</v>
          </cell>
          <cell r="J38" t="str">
            <v/>
          </cell>
          <cell r="K38">
            <v>51</v>
          </cell>
          <cell r="L38">
            <v>327.5</v>
          </cell>
          <cell r="M38" t="str">
            <v>56</v>
          </cell>
        </row>
        <row r="39">
          <cell r="C39" t="str">
            <v>肖天琪</v>
          </cell>
          <cell r="D39">
            <v>80.5</v>
          </cell>
          <cell r="E39">
            <v>63</v>
          </cell>
          <cell r="F39">
            <v>39.5</v>
          </cell>
          <cell r="G39" t="str">
            <v/>
          </cell>
          <cell r="H39">
            <v>25</v>
          </cell>
          <cell r="I39">
            <v>63</v>
          </cell>
          <cell r="J39" t="str">
            <v/>
          </cell>
          <cell r="K39">
            <v>56</v>
          </cell>
          <cell r="L39">
            <v>327</v>
          </cell>
          <cell r="M39" t="str">
            <v>57</v>
          </cell>
        </row>
        <row r="40">
          <cell r="C40" t="str">
            <v>林雅妮</v>
          </cell>
          <cell r="D40" t="str">
            <v>缺考</v>
          </cell>
          <cell r="E40">
            <v>0</v>
          </cell>
          <cell r="F40" t="str">
            <v>缺考</v>
          </cell>
        </row>
        <row r="40">
          <cell r="H40" t="str">
            <v>缺考</v>
          </cell>
          <cell r="I40" t="str">
            <v>缺考</v>
          </cell>
          <cell r="J40" t="str">
            <v>缺考</v>
          </cell>
        </row>
        <row r="40">
          <cell r="L40">
            <v>0</v>
          </cell>
          <cell r="M40" t="str">
            <v>62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0"/>
  <sheetViews>
    <sheetView tabSelected="1" zoomScale="70" zoomScaleNormal="70" workbookViewId="0">
      <selection activeCell="P20" sqref="P20"/>
    </sheetView>
  </sheetViews>
  <sheetFormatPr defaultColWidth="9.02654867256637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>
      <c r="A2" s="3" t="s">
        <v>13</v>
      </c>
      <c r="B2" s="3">
        <v>107</v>
      </c>
      <c r="C2" s="3">
        <v>91</v>
      </c>
      <c r="D2" s="3">
        <v>87</v>
      </c>
      <c r="E2" s="3" t="s">
        <v>14</v>
      </c>
      <c r="F2" s="3">
        <v>53.5</v>
      </c>
      <c r="G2" s="3">
        <v>63</v>
      </c>
      <c r="H2" s="3" t="s">
        <v>14</v>
      </c>
      <c r="I2" s="3">
        <v>87</v>
      </c>
      <c r="J2" s="3">
        <v>488.5</v>
      </c>
      <c r="K2" s="4" t="s">
        <v>15</v>
      </c>
      <c r="L2" s="5">
        <v>0</v>
      </c>
      <c r="M2" s="6">
        <v>0</v>
      </c>
    </row>
    <row r="3" spans="1:13">
      <c r="A3" s="3" t="s">
        <v>16</v>
      </c>
      <c r="B3" s="3">
        <v>83.5</v>
      </c>
      <c r="C3" s="3">
        <v>77</v>
      </c>
      <c r="D3" s="3" t="s">
        <v>14</v>
      </c>
      <c r="E3" s="3">
        <v>95.5</v>
      </c>
      <c r="F3" s="3">
        <v>55.5</v>
      </c>
      <c r="G3" s="3">
        <v>90</v>
      </c>
      <c r="H3" s="3" t="s">
        <v>14</v>
      </c>
      <c r="I3" s="3">
        <v>83</v>
      </c>
      <c r="J3" s="3">
        <v>484.5</v>
      </c>
      <c r="K3" s="4" t="s">
        <v>17</v>
      </c>
      <c r="L3" s="5" t="str">
        <f>VLOOKUP(A3,[1]Sheet1!$C$3:$M$40,11,0)</f>
        <v>1</v>
      </c>
      <c r="M3" s="6">
        <f t="shared" ref="M3:M40" si="0">L3-K3</f>
        <v>-1</v>
      </c>
    </row>
    <row r="4" spans="1:13">
      <c r="A4" s="3" t="s">
        <v>18</v>
      </c>
      <c r="B4" s="3">
        <v>101.5</v>
      </c>
      <c r="C4" s="3">
        <v>64</v>
      </c>
      <c r="D4" s="3" t="s">
        <v>14</v>
      </c>
      <c r="E4" s="3">
        <v>96.5</v>
      </c>
      <c r="F4" s="3">
        <v>48.5</v>
      </c>
      <c r="G4" s="3">
        <v>76</v>
      </c>
      <c r="H4" s="3" t="s">
        <v>14</v>
      </c>
      <c r="I4" s="3">
        <v>74</v>
      </c>
      <c r="J4" s="3">
        <v>460.5</v>
      </c>
      <c r="K4" s="4" t="s">
        <v>19</v>
      </c>
      <c r="L4" s="5" t="str">
        <f>VLOOKUP(A4,[1]Sheet1!$C$3:$M$40,11,0)</f>
        <v>4</v>
      </c>
      <c r="M4" s="6">
        <f t="shared" si="0"/>
        <v>1</v>
      </c>
    </row>
    <row r="5" spans="1:13">
      <c r="A5" s="3" t="s">
        <v>20</v>
      </c>
      <c r="B5" s="3">
        <v>96.5</v>
      </c>
      <c r="C5" s="3">
        <v>80</v>
      </c>
      <c r="D5" s="3" t="s">
        <v>14</v>
      </c>
      <c r="E5" s="3">
        <v>87</v>
      </c>
      <c r="F5" s="3">
        <v>28.5</v>
      </c>
      <c r="G5" s="3">
        <v>87</v>
      </c>
      <c r="H5" s="3" t="s">
        <v>14</v>
      </c>
      <c r="I5" s="3">
        <v>75</v>
      </c>
      <c r="J5" s="3">
        <v>454</v>
      </c>
      <c r="K5" s="4" t="s">
        <v>21</v>
      </c>
      <c r="L5" s="5" t="str">
        <f>VLOOKUP(A5,[1]Sheet1!$C$3:$M$40,11,0)</f>
        <v>5</v>
      </c>
      <c r="M5" s="6">
        <f t="shared" si="0"/>
        <v>1</v>
      </c>
    </row>
    <row r="6" spans="1:13">
      <c r="A6" s="3" t="s">
        <v>22</v>
      </c>
      <c r="B6" s="3">
        <v>103.5</v>
      </c>
      <c r="C6" s="3">
        <v>66</v>
      </c>
      <c r="D6" s="3" t="s">
        <v>14</v>
      </c>
      <c r="E6" s="3">
        <v>71</v>
      </c>
      <c r="F6" s="3">
        <v>33</v>
      </c>
      <c r="G6" s="3">
        <v>87</v>
      </c>
      <c r="H6" s="3" t="s">
        <v>14</v>
      </c>
      <c r="I6" s="3">
        <v>86</v>
      </c>
      <c r="J6" s="3">
        <v>446.5</v>
      </c>
      <c r="K6" s="4" t="s">
        <v>23</v>
      </c>
      <c r="L6" s="5" t="str">
        <f>VLOOKUP(A6,[1]Sheet1!$C$3:$M$40,11,0)</f>
        <v>15</v>
      </c>
      <c r="M6" s="6">
        <f t="shared" si="0"/>
        <v>10</v>
      </c>
    </row>
    <row r="7" spans="1:13">
      <c r="A7" s="3" t="s">
        <v>24</v>
      </c>
      <c r="B7" s="3">
        <v>93</v>
      </c>
      <c r="C7" s="3">
        <v>59</v>
      </c>
      <c r="D7" s="3" t="s">
        <v>14</v>
      </c>
      <c r="E7" s="3">
        <v>98</v>
      </c>
      <c r="F7" s="3">
        <v>32</v>
      </c>
      <c r="G7" s="3">
        <v>83</v>
      </c>
      <c r="H7" s="3" t="s">
        <v>14</v>
      </c>
      <c r="I7" s="3">
        <v>78</v>
      </c>
      <c r="J7" s="3">
        <v>443</v>
      </c>
      <c r="K7" s="4" t="s">
        <v>25</v>
      </c>
      <c r="L7" s="5" t="str">
        <f>VLOOKUP(A7,[1]Sheet1!$C$3:$M$40,11,0)</f>
        <v>2</v>
      </c>
      <c r="M7" s="6">
        <f t="shared" si="0"/>
        <v>-5</v>
      </c>
    </row>
    <row r="8" spans="1:13">
      <c r="A8" s="3" t="s">
        <v>26</v>
      </c>
      <c r="B8" s="3">
        <v>103.5</v>
      </c>
      <c r="C8" s="3">
        <v>61</v>
      </c>
      <c r="D8" s="3" t="s">
        <v>14</v>
      </c>
      <c r="E8" s="3">
        <v>118</v>
      </c>
      <c r="F8" s="3">
        <v>15.5</v>
      </c>
      <c r="G8" s="3">
        <v>83</v>
      </c>
      <c r="H8" s="3" t="s">
        <v>14</v>
      </c>
      <c r="I8" s="3">
        <v>62</v>
      </c>
      <c r="J8" s="3">
        <v>443</v>
      </c>
      <c r="K8" s="4" t="s">
        <v>25</v>
      </c>
      <c r="L8" s="5" t="str">
        <f>VLOOKUP(A8,[1]Sheet1!$C$3:$M$40,11,0)</f>
        <v>7</v>
      </c>
      <c r="M8" s="6">
        <f t="shared" si="0"/>
        <v>0</v>
      </c>
    </row>
    <row r="9" spans="1:13">
      <c r="A9" s="3" t="s">
        <v>27</v>
      </c>
      <c r="B9" s="3">
        <v>100</v>
      </c>
      <c r="C9" s="3">
        <v>71</v>
      </c>
      <c r="D9" s="3" t="s">
        <v>14</v>
      </c>
      <c r="E9" s="3">
        <v>87</v>
      </c>
      <c r="F9" s="3">
        <v>37.5</v>
      </c>
      <c r="G9" s="3">
        <v>64</v>
      </c>
      <c r="H9" s="3">
        <v>78</v>
      </c>
      <c r="I9" s="3" t="s">
        <v>14</v>
      </c>
      <c r="J9" s="3">
        <v>437.5</v>
      </c>
      <c r="K9" s="4" t="s">
        <v>28</v>
      </c>
      <c r="L9" s="5" t="str">
        <f>VLOOKUP(A9,[1]Sheet1!$C$3:$M$40,11,0)</f>
        <v>25</v>
      </c>
      <c r="M9" s="6">
        <f t="shared" si="0"/>
        <v>16</v>
      </c>
    </row>
    <row r="10" spans="1:13">
      <c r="A10" s="3" t="s">
        <v>29</v>
      </c>
      <c r="B10" s="3">
        <v>95</v>
      </c>
      <c r="C10" s="3">
        <v>54</v>
      </c>
      <c r="D10" s="3" t="s">
        <v>14</v>
      </c>
      <c r="E10" s="3">
        <v>75</v>
      </c>
      <c r="F10" s="3">
        <v>43.5</v>
      </c>
      <c r="G10" s="3">
        <v>87</v>
      </c>
      <c r="H10" s="3" t="s">
        <v>14</v>
      </c>
      <c r="I10" s="3">
        <v>75</v>
      </c>
      <c r="J10" s="3">
        <v>429.5</v>
      </c>
      <c r="K10" s="4" t="s">
        <v>30</v>
      </c>
      <c r="L10" s="5" t="str">
        <f>VLOOKUP(A10,[1]Sheet1!$C$3:$M$40,11,0)</f>
        <v>3</v>
      </c>
      <c r="M10" s="6">
        <f t="shared" si="0"/>
        <v>-7</v>
      </c>
    </row>
    <row r="11" spans="1:13">
      <c r="A11" s="3" t="s">
        <v>31</v>
      </c>
      <c r="B11" s="3">
        <v>92</v>
      </c>
      <c r="C11" s="3">
        <v>64</v>
      </c>
      <c r="D11" s="3">
        <v>86</v>
      </c>
      <c r="E11" s="3" t="s">
        <v>14</v>
      </c>
      <c r="F11" s="3">
        <v>23</v>
      </c>
      <c r="G11" s="3">
        <v>74</v>
      </c>
      <c r="H11" s="3">
        <v>88</v>
      </c>
      <c r="I11" s="3" t="s">
        <v>14</v>
      </c>
      <c r="J11" s="3">
        <v>427</v>
      </c>
      <c r="K11" s="4" t="s">
        <v>32</v>
      </c>
      <c r="L11" s="5" t="str">
        <f>VLOOKUP(A11,[1]Sheet1!$C$3:$M$40,11,0)</f>
        <v>12</v>
      </c>
      <c r="M11" s="6">
        <f t="shared" si="0"/>
        <v>1</v>
      </c>
    </row>
    <row r="12" spans="1:13">
      <c r="A12" s="3" t="s">
        <v>33</v>
      </c>
      <c r="B12" s="3">
        <v>81</v>
      </c>
      <c r="C12" s="3">
        <v>87</v>
      </c>
      <c r="D12" s="3">
        <v>35</v>
      </c>
      <c r="E12" s="3" t="s">
        <v>14</v>
      </c>
      <c r="F12" s="3">
        <v>32.5</v>
      </c>
      <c r="G12" s="3">
        <v>89</v>
      </c>
      <c r="H12" s="3">
        <v>87</v>
      </c>
      <c r="I12" s="3" t="s">
        <v>14</v>
      </c>
      <c r="J12" s="3">
        <v>411.5</v>
      </c>
      <c r="K12" s="4" t="s">
        <v>34</v>
      </c>
      <c r="L12" s="5" t="str">
        <f>VLOOKUP(A12,[1]Sheet1!$C$3:$M$40,11,0)</f>
        <v>12</v>
      </c>
      <c r="M12" s="6">
        <f t="shared" si="0"/>
        <v>0</v>
      </c>
    </row>
    <row r="13" spans="1:13">
      <c r="A13" s="3" t="s">
        <v>35</v>
      </c>
      <c r="B13" s="3">
        <v>99</v>
      </c>
      <c r="C13" s="3">
        <v>61</v>
      </c>
      <c r="D13" s="3" t="s">
        <v>14</v>
      </c>
      <c r="E13" s="3">
        <v>86</v>
      </c>
      <c r="F13" s="3">
        <v>19.5</v>
      </c>
      <c r="G13" s="3">
        <v>73</v>
      </c>
      <c r="H13" s="3">
        <v>73</v>
      </c>
      <c r="I13" s="3" t="s">
        <v>14</v>
      </c>
      <c r="J13" s="3">
        <v>411.5</v>
      </c>
      <c r="K13" s="4" t="s">
        <v>34</v>
      </c>
      <c r="L13" s="5" t="str">
        <f>VLOOKUP(A13,[1]Sheet1!$C$3:$M$40,11,0)</f>
        <v>7</v>
      </c>
      <c r="M13" s="6">
        <f t="shared" si="0"/>
        <v>-5</v>
      </c>
    </row>
    <row r="14" spans="1:13">
      <c r="A14" s="3" t="s">
        <v>36</v>
      </c>
      <c r="B14" s="3">
        <v>96.5</v>
      </c>
      <c r="C14" s="3">
        <v>77</v>
      </c>
      <c r="D14" s="3">
        <v>45</v>
      </c>
      <c r="E14" s="3" t="s">
        <v>14</v>
      </c>
      <c r="F14" s="3">
        <v>24</v>
      </c>
      <c r="G14" s="3">
        <v>80</v>
      </c>
      <c r="H14" s="3">
        <v>88</v>
      </c>
      <c r="I14" s="3" t="s">
        <v>14</v>
      </c>
      <c r="J14" s="3">
        <v>410.5</v>
      </c>
      <c r="K14" s="4" t="s">
        <v>37</v>
      </c>
      <c r="L14" s="5" t="str">
        <f>VLOOKUP(A14,[1]Sheet1!$C$3:$M$40,11,0)</f>
        <v>14</v>
      </c>
      <c r="M14" s="6">
        <f t="shared" si="0"/>
        <v>0</v>
      </c>
    </row>
    <row r="15" spans="1:13">
      <c r="A15" s="3" t="s">
        <v>38</v>
      </c>
      <c r="B15" s="3">
        <v>89.5</v>
      </c>
      <c r="C15" s="3">
        <v>71</v>
      </c>
      <c r="D15" s="3" t="s">
        <v>14</v>
      </c>
      <c r="E15" s="3">
        <v>97.5</v>
      </c>
      <c r="F15" s="3">
        <v>21</v>
      </c>
      <c r="G15" s="3">
        <v>68</v>
      </c>
      <c r="H15" s="3" t="s">
        <v>14</v>
      </c>
      <c r="I15" s="3">
        <v>61</v>
      </c>
      <c r="J15" s="3">
        <v>408</v>
      </c>
      <c r="K15" s="4" t="s">
        <v>39</v>
      </c>
      <c r="L15" s="5" t="str">
        <f>VLOOKUP(A15,[1]Sheet1!$C$3:$M$40,11,0)</f>
        <v>9</v>
      </c>
      <c r="M15" s="6">
        <f t="shared" si="0"/>
        <v>-6</v>
      </c>
    </row>
    <row r="16" spans="1:13">
      <c r="A16" s="3" t="s">
        <v>40</v>
      </c>
      <c r="B16" s="3">
        <v>101.5</v>
      </c>
      <c r="C16" s="3">
        <v>56</v>
      </c>
      <c r="D16" s="3">
        <v>93</v>
      </c>
      <c r="E16" s="3" t="s">
        <v>14</v>
      </c>
      <c r="F16" s="3">
        <v>23.5</v>
      </c>
      <c r="G16" s="3">
        <v>65</v>
      </c>
      <c r="H16" s="3" t="s">
        <v>14</v>
      </c>
      <c r="I16" s="3">
        <v>68</v>
      </c>
      <c r="J16" s="3">
        <v>407</v>
      </c>
      <c r="K16" s="4" t="s">
        <v>41</v>
      </c>
      <c r="L16" s="5" t="str">
        <f>VLOOKUP(A16,[1]Sheet1!$C$3:$M$40,11,0)</f>
        <v>19</v>
      </c>
      <c r="M16" s="6">
        <f t="shared" si="0"/>
        <v>3</v>
      </c>
    </row>
    <row r="17" spans="1:13">
      <c r="A17" s="3" t="s">
        <v>42</v>
      </c>
      <c r="B17" s="3">
        <v>93</v>
      </c>
      <c r="C17" s="3">
        <v>69</v>
      </c>
      <c r="D17" s="3" t="s">
        <v>14</v>
      </c>
      <c r="E17" s="3">
        <v>89</v>
      </c>
      <c r="F17" s="3">
        <v>18</v>
      </c>
      <c r="G17" s="3">
        <v>76</v>
      </c>
      <c r="H17" s="3" t="s">
        <v>14</v>
      </c>
      <c r="I17" s="3">
        <v>61</v>
      </c>
      <c r="J17" s="3">
        <v>406</v>
      </c>
      <c r="K17" s="4" t="s">
        <v>43</v>
      </c>
      <c r="L17" s="5" t="str">
        <f>VLOOKUP(A17,[1]Sheet1!$C$3:$M$40,11,0)</f>
        <v>10</v>
      </c>
      <c r="M17" s="6">
        <f t="shared" si="0"/>
        <v>-7</v>
      </c>
    </row>
    <row r="18" spans="1:13">
      <c r="A18" s="3" t="s">
        <v>44</v>
      </c>
      <c r="B18" s="3">
        <v>89.5</v>
      </c>
      <c r="C18" s="3">
        <v>51</v>
      </c>
      <c r="D18" s="3" t="s">
        <v>14</v>
      </c>
      <c r="E18" s="3">
        <v>68.5</v>
      </c>
      <c r="F18" s="3">
        <v>18.5</v>
      </c>
      <c r="G18" s="3">
        <v>88</v>
      </c>
      <c r="H18" s="3">
        <v>88</v>
      </c>
      <c r="I18" s="3" t="s">
        <v>14</v>
      </c>
      <c r="J18" s="3">
        <v>403.5</v>
      </c>
      <c r="K18" s="4" t="s">
        <v>45</v>
      </c>
      <c r="L18" s="5" t="str">
        <f>VLOOKUP(A18,[1]Sheet1!$C$3:$M$40,11,0)</f>
        <v>17</v>
      </c>
      <c r="M18" s="6">
        <f t="shared" si="0"/>
        <v>-1</v>
      </c>
    </row>
    <row r="19" spans="1:13">
      <c r="A19" s="3" t="s">
        <v>46</v>
      </c>
      <c r="B19" s="3">
        <v>99.5</v>
      </c>
      <c r="C19" s="3">
        <v>54</v>
      </c>
      <c r="D19" s="3">
        <v>81</v>
      </c>
      <c r="E19" s="3" t="s">
        <v>14</v>
      </c>
      <c r="F19" s="3">
        <v>20.5</v>
      </c>
      <c r="G19" s="3">
        <v>83</v>
      </c>
      <c r="H19" s="3" t="s">
        <v>14</v>
      </c>
      <c r="I19" s="3">
        <v>65</v>
      </c>
      <c r="J19" s="3">
        <v>403</v>
      </c>
      <c r="K19" s="4" t="s">
        <v>47</v>
      </c>
      <c r="L19" s="5" t="str">
        <f>VLOOKUP(A19,[1]Sheet1!$C$3:$M$40,11,0)</f>
        <v>44</v>
      </c>
      <c r="M19" s="6">
        <f t="shared" si="0"/>
        <v>25</v>
      </c>
    </row>
    <row r="20" spans="1:13">
      <c r="A20" s="3" t="s">
        <v>48</v>
      </c>
      <c r="B20" s="3">
        <v>83</v>
      </c>
      <c r="C20" s="3">
        <v>73</v>
      </c>
      <c r="D20" s="3" t="s">
        <v>14</v>
      </c>
      <c r="E20" s="3">
        <v>67.5</v>
      </c>
      <c r="F20" s="3">
        <v>34.5</v>
      </c>
      <c r="G20" s="3">
        <v>71</v>
      </c>
      <c r="H20" s="3" t="s">
        <v>14</v>
      </c>
      <c r="I20" s="3">
        <v>74</v>
      </c>
      <c r="J20" s="3">
        <v>403</v>
      </c>
      <c r="K20" s="4" t="s">
        <v>47</v>
      </c>
      <c r="L20" s="5" t="str">
        <f>VLOOKUP(A20,[1]Sheet1!$C$3:$M$40,11,0)</f>
        <v>11</v>
      </c>
      <c r="M20" s="6">
        <f t="shared" si="0"/>
        <v>-8</v>
      </c>
    </row>
    <row r="21" spans="1:13">
      <c r="A21" s="3" t="s">
        <v>49</v>
      </c>
      <c r="B21" s="3">
        <v>98.5</v>
      </c>
      <c r="C21" s="3">
        <v>58</v>
      </c>
      <c r="D21" s="3" t="s">
        <v>14</v>
      </c>
      <c r="E21" s="3">
        <v>71</v>
      </c>
      <c r="F21" s="3">
        <v>31</v>
      </c>
      <c r="G21" s="3">
        <v>68</v>
      </c>
      <c r="H21" s="3">
        <v>73</v>
      </c>
      <c r="I21" s="3" t="s">
        <v>14</v>
      </c>
      <c r="J21" s="3">
        <v>399.5</v>
      </c>
      <c r="K21" s="4" t="s">
        <v>50</v>
      </c>
      <c r="L21" s="5" t="str">
        <f>VLOOKUP(A21,[1]Sheet1!$C$3:$M$40,11,0)</f>
        <v>41</v>
      </c>
      <c r="M21" s="6">
        <f t="shared" si="0"/>
        <v>18</v>
      </c>
    </row>
    <row r="22" spans="1:13">
      <c r="A22" s="3" t="s">
        <v>51</v>
      </c>
      <c r="B22" s="3">
        <v>95</v>
      </c>
      <c r="C22" s="3">
        <v>53</v>
      </c>
      <c r="D22" s="3">
        <v>66.5</v>
      </c>
      <c r="E22" s="3" t="s">
        <v>14</v>
      </c>
      <c r="F22" s="3">
        <v>23.5</v>
      </c>
      <c r="G22" s="3">
        <v>76</v>
      </c>
      <c r="H22" s="3">
        <v>80</v>
      </c>
      <c r="I22" s="3" t="s">
        <v>14</v>
      </c>
      <c r="J22" s="3">
        <v>394</v>
      </c>
      <c r="K22" s="4" t="s">
        <v>52</v>
      </c>
      <c r="L22" s="5" t="str">
        <f>VLOOKUP(A22,[1]Sheet1!$C$3:$M$40,11,0)</f>
        <v>34</v>
      </c>
      <c r="M22" s="6">
        <f t="shared" si="0"/>
        <v>9</v>
      </c>
    </row>
    <row r="23" spans="1:13">
      <c r="A23" s="3" t="s">
        <v>53</v>
      </c>
      <c r="B23" s="3">
        <v>101.5</v>
      </c>
      <c r="C23" s="3">
        <v>48</v>
      </c>
      <c r="D23" s="3">
        <v>73</v>
      </c>
      <c r="E23" s="3" t="s">
        <v>14</v>
      </c>
      <c r="F23" s="3">
        <v>32.5</v>
      </c>
      <c r="G23" s="3">
        <v>73</v>
      </c>
      <c r="H23" s="3">
        <v>66</v>
      </c>
      <c r="I23" s="3" t="s">
        <v>14</v>
      </c>
      <c r="J23" s="3">
        <v>394</v>
      </c>
      <c r="K23" s="4" t="s">
        <v>52</v>
      </c>
      <c r="L23" s="5" t="str">
        <f>VLOOKUP(A23,[1]Sheet1!$C$3:$M$40,11,0)</f>
        <v>29</v>
      </c>
      <c r="M23" s="6">
        <f t="shared" si="0"/>
        <v>4</v>
      </c>
    </row>
    <row r="24" spans="1:13">
      <c r="A24" s="3" t="s">
        <v>54</v>
      </c>
      <c r="B24" s="3">
        <v>97.5</v>
      </c>
      <c r="C24" s="3">
        <v>46</v>
      </c>
      <c r="D24" s="3">
        <v>57</v>
      </c>
      <c r="E24" s="3" t="s">
        <v>14</v>
      </c>
      <c r="F24" s="3">
        <v>25</v>
      </c>
      <c r="G24" s="3">
        <v>76</v>
      </c>
      <c r="H24" s="3">
        <v>90</v>
      </c>
      <c r="I24" s="3" t="s">
        <v>14</v>
      </c>
      <c r="J24" s="3">
        <v>391.5</v>
      </c>
      <c r="K24" s="4" t="s">
        <v>55</v>
      </c>
      <c r="L24" s="5" t="str">
        <f>VLOOKUP(A24,[1]Sheet1!$C$3:$M$40,11,0)</f>
        <v>43</v>
      </c>
      <c r="M24" s="6">
        <f t="shared" si="0"/>
        <v>15</v>
      </c>
    </row>
    <row r="25" spans="1:13">
      <c r="A25" s="3" t="s">
        <v>56</v>
      </c>
      <c r="B25" s="3">
        <v>89.5</v>
      </c>
      <c r="C25" s="3">
        <v>72</v>
      </c>
      <c r="D25" s="3">
        <v>49.5</v>
      </c>
      <c r="E25" s="3" t="s">
        <v>14</v>
      </c>
      <c r="F25" s="3">
        <v>36.5</v>
      </c>
      <c r="G25" s="3">
        <v>78</v>
      </c>
      <c r="H25" s="3" t="s">
        <v>14</v>
      </c>
      <c r="I25" s="3">
        <v>64</v>
      </c>
      <c r="J25" s="3">
        <v>389.5</v>
      </c>
      <c r="K25" s="4" t="s">
        <v>57</v>
      </c>
      <c r="L25" s="5" t="str">
        <f>VLOOKUP(A25,[1]Sheet1!$C$3:$M$40,11,0)</f>
        <v>23</v>
      </c>
      <c r="M25" s="6">
        <f t="shared" si="0"/>
        <v>-6</v>
      </c>
    </row>
    <row r="26" spans="1:13">
      <c r="A26" s="3" t="s">
        <v>58</v>
      </c>
      <c r="B26" s="3">
        <v>84.5</v>
      </c>
      <c r="C26" s="3">
        <v>80</v>
      </c>
      <c r="D26" s="3">
        <v>37</v>
      </c>
      <c r="E26" s="3" t="s">
        <v>14</v>
      </c>
      <c r="F26" s="3">
        <v>19</v>
      </c>
      <c r="G26" s="3">
        <v>84</v>
      </c>
      <c r="H26" s="3" t="s">
        <v>14</v>
      </c>
      <c r="I26" s="3">
        <v>77</v>
      </c>
      <c r="J26" s="3">
        <v>381.5</v>
      </c>
      <c r="K26" s="4" t="s">
        <v>59</v>
      </c>
      <c r="L26" s="5" t="str">
        <f>VLOOKUP(A26,[1]Sheet1!$C$3:$M$40,11,0)</f>
        <v>48</v>
      </c>
      <c r="M26" s="6">
        <f t="shared" si="0"/>
        <v>14</v>
      </c>
    </row>
    <row r="27" spans="1:13">
      <c r="A27" s="3" t="s">
        <v>60</v>
      </c>
      <c r="B27" s="3">
        <v>93</v>
      </c>
      <c r="C27" s="3">
        <v>61</v>
      </c>
      <c r="D27" s="3">
        <v>36</v>
      </c>
      <c r="E27" s="3" t="s">
        <v>14</v>
      </c>
      <c r="F27" s="3">
        <v>31.5</v>
      </c>
      <c r="G27" s="3">
        <v>85</v>
      </c>
      <c r="H27" s="3" t="s">
        <v>14</v>
      </c>
      <c r="I27" s="3">
        <v>59</v>
      </c>
      <c r="J27" s="3">
        <v>365.5</v>
      </c>
      <c r="K27" s="4" t="s">
        <v>61</v>
      </c>
      <c r="L27" s="5" t="str">
        <f>VLOOKUP(A27,[1]Sheet1!$C$3:$M$40,11,0)</f>
        <v>56</v>
      </c>
      <c r="M27" s="6">
        <f t="shared" si="0"/>
        <v>15</v>
      </c>
    </row>
    <row r="28" spans="1:13">
      <c r="A28" s="3" t="s">
        <v>62</v>
      </c>
      <c r="B28" s="3">
        <v>86.5</v>
      </c>
      <c r="C28" s="3">
        <v>39</v>
      </c>
      <c r="D28" s="3" t="s">
        <v>14</v>
      </c>
      <c r="E28" s="3">
        <v>75</v>
      </c>
      <c r="F28" s="3">
        <v>18</v>
      </c>
      <c r="G28" s="3">
        <v>61</v>
      </c>
      <c r="H28" s="3">
        <v>86</v>
      </c>
      <c r="I28" s="3" t="s">
        <v>14</v>
      </c>
      <c r="J28" s="3">
        <v>365.5</v>
      </c>
      <c r="K28" s="4" t="s">
        <v>61</v>
      </c>
      <c r="L28" s="5" t="str">
        <f>VLOOKUP(A28,[1]Sheet1!$C$3:$M$40,11,0)</f>
        <v>41</v>
      </c>
      <c r="M28" s="6">
        <f t="shared" si="0"/>
        <v>0</v>
      </c>
    </row>
    <row r="29" spans="1:13">
      <c r="A29" s="3" t="s">
        <v>63</v>
      </c>
      <c r="B29" s="3">
        <v>77</v>
      </c>
      <c r="C29" s="3">
        <v>74</v>
      </c>
      <c r="D29" s="3">
        <v>36.5</v>
      </c>
      <c r="E29" s="3" t="s">
        <v>14</v>
      </c>
      <c r="F29" s="3">
        <v>30.5</v>
      </c>
      <c r="G29" s="3">
        <v>72</v>
      </c>
      <c r="H29" s="3" t="s">
        <v>14</v>
      </c>
      <c r="I29" s="3">
        <v>74</v>
      </c>
      <c r="J29" s="3">
        <v>364</v>
      </c>
      <c r="K29" s="4" t="s">
        <v>64</v>
      </c>
      <c r="L29" s="5" t="str">
        <f>VLOOKUP(A29,[1]Sheet1!$C$3:$M$40,11,0)</f>
        <v>51</v>
      </c>
      <c r="M29" s="6">
        <f t="shared" si="0"/>
        <v>8</v>
      </c>
    </row>
    <row r="30" spans="1:13">
      <c r="A30" s="3" t="s">
        <v>65</v>
      </c>
      <c r="B30" s="3">
        <v>98.5</v>
      </c>
      <c r="C30" s="3">
        <v>56</v>
      </c>
      <c r="D30" s="3">
        <v>45.5</v>
      </c>
      <c r="E30" s="3" t="s">
        <v>14</v>
      </c>
      <c r="F30" s="3">
        <v>9</v>
      </c>
      <c r="G30" s="3">
        <v>70</v>
      </c>
      <c r="H30" s="3">
        <v>83</v>
      </c>
      <c r="I30" s="3" t="s">
        <v>14</v>
      </c>
      <c r="J30" s="3">
        <v>362</v>
      </c>
      <c r="K30" s="4" t="s">
        <v>66</v>
      </c>
      <c r="L30" s="5" t="str">
        <f>VLOOKUP(A30,[1]Sheet1!$C$3:$M$40,11,0)</f>
        <v>16</v>
      </c>
      <c r="M30" s="6">
        <f t="shared" si="0"/>
        <v>-28</v>
      </c>
    </row>
    <row r="31" spans="1:13">
      <c r="A31" s="3" t="s">
        <v>67</v>
      </c>
      <c r="B31" s="3">
        <v>88.5</v>
      </c>
      <c r="C31" s="3">
        <v>57</v>
      </c>
      <c r="D31" s="3">
        <v>49</v>
      </c>
      <c r="E31" s="3" t="s">
        <v>14</v>
      </c>
      <c r="F31" s="3">
        <v>20</v>
      </c>
      <c r="G31" s="3">
        <v>78</v>
      </c>
      <c r="H31" s="3">
        <v>67</v>
      </c>
      <c r="I31" s="3" t="s">
        <v>14</v>
      </c>
      <c r="J31" s="3">
        <v>359.5</v>
      </c>
      <c r="K31" s="4" t="s">
        <v>68</v>
      </c>
      <c r="L31" s="5" t="str">
        <f>VLOOKUP(A31,[1]Sheet1!$C$3:$M$40,11,0)</f>
        <v>19</v>
      </c>
      <c r="M31" s="6">
        <f t="shared" si="0"/>
        <v>-27</v>
      </c>
    </row>
    <row r="32" spans="1:13">
      <c r="A32" s="3" t="s">
        <v>69</v>
      </c>
      <c r="B32" s="3">
        <v>93</v>
      </c>
      <c r="C32" s="3">
        <v>54</v>
      </c>
      <c r="D32" s="3">
        <v>39.5</v>
      </c>
      <c r="E32" s="3" t="s">
        <v>14</v>
      </c>
      <c r="F32" s="3">
        <v>19.5</v>
      </c>
      <c r="G32" s="3">
        <v>67</v>
      </c>
      <c r="H32" s="3">
        <v>83</v>
      </c>
      <c r="I32" s="3" t="s">
        <v>14</v>
      </c>
      <c r="J32" s="3">
        <v>356</v>
      </c>
      <c r="K32" s="4" t="s">
        <v>70</v>
      </c>
      <c r="L32" s="5" t="str">
        <f>VLOOKUP(A32,[1]Sheet1!$C$3:$M$40,11,0)</f>
        <v>25</v>
      </c>
      <c r="M32" s="6">
        <f t="shared" si="0"/>
        <v>-22</v>
      </c>
    </row>
    <row r="33" spans="1:13">
      <c r="A33" s="3" t="s">
        <v>71</v>
      </c>
      <c r="B33" s="3">
        <v>86</v>
      </c>
      <c r="C33" s="3">
        <v>49</v>
      </c>
      <c r="D33" s="3" t="s">
        <v>14</v>
      </c>
      <c r="E33" s="3">
        <v>57</v>
      </c>
      <c r="F33" s="3">
        <v>38.5</v>
      </c>
      <c r="G33" s="3">
        <v>73</v>
      </c>
      <c r="H33" s="3">
        <v>52</v>
      </c>
      <c r="I33" s="3" t="s">
        <v>14</v>
      </c>
      <c r="J33" s="3">
        <v>355.5</v>
      </c>
      <c r="K33" s="4" t="s">
        <v>72</v>
      </c>
      <c r="L33" s="5" t="str">
        <f>VLOOKUP(A33,[1]Sheet1!$C$3:$M$40,11,0)</f>
        <v>18</v>
      </c>
      <c r="M33" s="6">
        <f t="shared" si="0"/>
        <v>-30</v>
      </c>
    </row>
    <row r="34" spans="1:13">
      <c r="A34" s="3" t="s">
        <v>73</v>
      </c>
      <c r="B34" s="3">
        <v>101</v>
      </c>
      <c r="C34" s="3">
        <v>40</v>
      </c>
      <c r="D34" s="3">
        <v>54</v>
      </c>
      <c r="E34" s="3" t="s">
        <v>14</v>
      </c>
      <c r="F34" s="3">
        <v>19</v>
      </c>
      <c r="G34" s="3">
        <v>75</v>
      </c>
      <c r="H34" s="3" t="s">
        <v>14</v>
      </c>
      <c r="I34" s="3">
        <v>65</v>
      </c>
      <c r="J34" s="3">
        <v>354</v>
      </c>
      <c r="K34" s="4" t="s">
        <v>74</v>
      </c>
      <c r="L34" s="5" t="str">
        <f>VLOOKUP(A34,[1]Sheet1!$C$3:$M$40,11,0)</f>
        <v>47</v>
      </c>
      <c r="M34" s="6">
        <f t="shared" si="0"/>
        <v>-3</v>
      </c>
    </row>
    <row r="35" spans="1:13">
      <c r="A35" s="3" t="s">
        <v>75</v>
      </c>
      <c r="B35" s="3">
        <v>84</v>
      </c>
      <c r="C35" s="3">
        <v>32</v>
      </c>
      <c r="D35" s="3" t="s">
        <v>14</v>
      </c>
      <c r="E35" s="3">
        <v>74.5</v>
      </c>
      <c r="F35" s="3">
        <v>23</v>
      </c>
      <c r="G35" s="3">
        <v>78</v>
      </c>
      <c r="H35" s="3">
        <v>57</v>
      </c>
      <c r="I35" s="3" t="s">
        <v>14</v>
      </c>
      <c r="J35" s="3">
        <v>348.5</v>
      </c>
      <c r="K35" s="4" t="s">
        <v>76</v>
      </c>
      <c r="L35" s="5" t="str">
        <f>VLOOKUP(A35,[1]Sheet1!$C$3:$M$40,11,0)</f>
        <v>28</v>
      </c>
      <c r="M35" s="6">
        <f t="shared" si="0"/>
        <v>-23</v>
      </c>
    </row>
    <row r="36" spans="1:13">
      <c r="A36" s="3" t="s">
        <v>77</v>
      </c>
      <c r="B36" s="3">
        <v>94.5</v>
      </c>
      <c r="C36" s="3">
        <v>52</v>
      </c>
      <c r="D36" s="3">
        <v>43.5</v>
      </c>
      <c r="E36" s="3" t="s">
        <v>14</v>
      </c>
      <c r="F36" s="3">
        <v>20</v>
      </c>
      <c r="G36" s="3">
        <v>58</v>
      </c>
      <c r="H36" s="3">
        <v>73</v>
      </c>
      <c r="I36" s="3" t="s">
        <v>14</v>
      </c>
      <c r="J36" s="3">
        <v>341</v>
      </c>
      <c r="K36" s="4" t="s">
        <v>78</v>
      </c>
      <c r="L36" s="5" t="str">
        <f>VLOOKUP(A36,[1]Sheet1!$C$3:$M$40,11,0)</f>
        <v>46</v>
      </c>
      <c r="M36" s="6">
        <f t="shared" si="0"/>
        <v>-9</v>
      </c>
    </row>
    <row r="37" spans="1:13">
      <c r="A37" s="3" t="s">
        <v>79</v>
      </c>
      <c r="B37" s="3">
        <v>100</v>
      </c>
      <c r="C37" s="3">
        <v>41</v>
      </c>
      <c r="D37" s="3">
        <v>28.5</v>
      </c>
      <c r="E37" s="3" t="s">
        <v>14</v>
      </c>
      <c r="F37" s="3">
        <v>17</v>
      </c>
      <c r="G37" s="3">
        <v>65</v>
      </c>
      <c r="H37" s="3">
        <v>83</v>
      </c>
      <c r="I37" s="3" t="s">
        <v>14</v>
      </c>
      <c r="J37" s="3">
        <v>334.5</v>
      </c>
      <c r="K37" s="4" t="s">
        <v>80</v>
      </c>
      <c r="L37" s="5" t="str">
        <f>VLOOKUP(A37,[1]Sheet1!$C$3:$M$40,11,0)</f>
        <v>50</v>
      </c>
      <c r="M37" s="6">
        <f t="shared" si="0"/>
        <v>-6</v>
      </c>
    </row>
    <row r="38" spans="1:13">
      <c r="A38" s="3" t="s">
        <v>81</v>
      </c>
      <c r="B38" s="3">
        <v>82.5</v>
      </c>
      <c r="C38" s="3">
        <v>57</v>
      </c>
      <c r="D38" s="3">
        <v>36</v>
      </c>
      <c r="E38" s="3" t="s">
        <v>14</v>
      </c>
      <c r="F38" s="3">
        <v>20</v>
      </c>
      <c r="G38" s="3">
        <v>76</v>
      </c>
      <c r="H38" s="3" t="s">
        <v>14</v>
      </c>
      <c r="I38" s="3">
        <v>61</v>
      </c>
      <c r="J38" s="3">
        <v>332.5</v>
      </c>
      <c r="K38" s="4" t="s">
        <v>82</v>
      </c>
      <c r="L38" s="5" t="str">
        <f>VLOOKUP(A38,[1]Sheet1!$C$3:$M$40,11,0)</f>
        <v>55</v>
      </c>
      <c r="M38" s="6">
        <f t="shared" si="0"/>
        <v>-2</v>
      </c>
    </row>
    <row r="39" spans="1:13">
      <c r="A39" s="3" t="s">
        <v>83</v>
      </c>
      <c r="B39" s="3">
        <v>80</v>
      </c>
      <c r="C39" s="3">
        <v>76</v>
      </c>
      <c r="D39" s="3">
        <v>28</v>
      </c>
      <c r="E39" s="3" t="s">
        <v>14</v>
      </c>
      <c r="F39" s="3">
        <v>15</v>
      </c>
      <c r="G39" s="3">
        <v>64</v>
      </c>
      <c r="H39" s="3" t="s">
        <v>14</v>
      </c>
      <c r="I39" s="3">
        <v>50</v>
      </c>
      <c r="J39" s="3">
        <v>313</v>
      </c>
      <c r="K39" s="4" t="s">
        <v>84</v>
      </c>
      <c r="L39" s="5" t="str">
        <f>VLOOKUP(A39,[1]Sheet1!$C$3:$M$40,11,0)</f>
        <v>57</v>
      </c>
      <c r="M39" s="6">
        <f t="shared" si="0"/>
        <v>-5</v>
      </c>
    </row>
    <row r="40" spans="1:13">
      <c r="A40" s="7" t="s">
        <v>85</v>
      </c>
      <c r="B40" s="8">
        <v>81.5</v>
      </c>
      <c r="C40" s="8" t="s">
        <v>14</v>
      </c>
      <c r="D40" s="9"/>
      <c r="E40" s="8" t="s">
        <v>14</v>
      </c>
      <c r="F40" s="9"/>
      <c r="G40" s="8">
        <v>56</v>
      </c>
      <c r="H40" s="8">
        <v>53</v>
      </c>
      <c r="I40" s="8" t="s">
        <v>14</v>
      </c>
      <c r="J40" s="8">
        <v>190.5</v>
      </c>
      <c r="K40" s="10" t="s">
        <v>86</v>
      </c>
      <c r="L40" s="11" t="str">
        <f>VLOOKUP(A40,[1]Sheet1!$C$3:$M$40,11,0)</f>
        <v>62</v>
      </c>
      <c r="M40" s="12">
        <f t="shared" si="0"/>
        <v>-6</v>
      </c>
    </row>
  </sheetData>
  <conditionalFormatting sqref="I2">
    <cfRule type="cellIs" dxfId="0" priority="1" operator="greaterThan">
      <formula>63</formula>
    </cfRule>
  </conditionalFormatting>
  <conditionalFormatting sqref="B2:B40">
    <cfRule type="cellIs" dxfId="1" priority="10" operator="greaterThan">
      <formula>92</formula>
    </cfRule>
  </conditionalFormatting>
  <conditionalFormatting sqref="C2:C39">
    <cfRule type="cellIs" dxfId="1" priority="9" operator="greaterThan">
      <formula>55</formula>
    </cfRule>
  </conditionalFormatting>
  <conditionalFormatting sqref="F2:F39">
    <cfRule type="cellIs" dxfId="1" priority="6" operator="greaterThan">
      <formula>27</formula>
    </cfRule>
  </conditionalFormatting>
  <conditionalFormatting sqref="G2:G40">
    <cfRule type="cellIs" dxfId="1" priority="5" operator="greaterThan">
      <formula>66</formula>
    </cfRule>
  </conditionalFormatting>
  <conditionalFormatting sqref="J2:J40">
    <cfRule type="cellIs" dxfId="1" priority="2" operator="greaterThan">
      <formula>372</formula>
    </cfRule>
  </conditionalFormatting>
  <conditionalFormatting sqref="M$1:M$1048576">
    <cfRule type="top10" dxfId="2" priority="11" rank="10"/>
  </conditionalFormatting>
  <conditionalFormatting sqref="D2 D11:D12 D14 D16 D19 D22:D27 D29:D32 D34 D36:D39">
    <cfRule type="cellIs" dxfId="1" priority="8" operator="greaterThan">
      <formula>63</formula>
    </cfRule>
  </conditionalFormatting>
  <conditionalFormatting sqref="E3:E10 E13 E15 E17:E18 E20:E21 E28 E33 E35">
    <cfRule type="cellIs" dxfId="1" priority="7" operator="greaterThan">
      <formula>83</formula>
    </cfRule>
  </conditionalFormatting>
  <conditionalFormatting sqref="I3:I8 I10 I15:I17 I19:I20 I25:I27 I29 I34 I38:I39">
    <cfRule type="cellIs" dxfId="1" priority="3" operator="greaterThan">
      <formula>63</formula>
    </cfRule>
  </conditionalFormatting>
  <conditionalFormatting sqref="H9 H11:H14 H18 H21:H24 H28 H30:H33 H36 H35:H37 H40">
    <cfRule type="cellIs" dxfId="1" priority="4" operator="greaterThan">
      <formula>70</formula>
    </cfRule>
  </conditionalFormatting>
  <pageMargins left="0.75" right="0.75" top="1" bottom="1" header="0.5" footer="0.5"/>
  <pageSetup paperSize="9" scale="6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28129</dc:creator>
  <cp:lastModifiedBy>28129</cp:lastModifiedBy>
  <dcterms:created xsi:type="dcterms:W3CDTF">2025-10-08T01:08:00Z</dcterms:created>
  <dcterms:modified xsi:type="dcterms:W3CDTF">2025-11-17T01:41:58Z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85C8AC1A505F4CAEBA5AC2C77633B403_13</vt:lpwstr>
  </property>
  <property fmtid="{D5CDD505-2E9C-101B-9397-08002B2CF9AE}" pid="3" name="KSOProductBuildVer">
    <vt:lpwstr>2052-12.1.0.23542</vt:lpwstr>
  </property>
</Properties>
</file>